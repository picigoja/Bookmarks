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  <sheet state="visible" name="Params" sheetId="2" r:id="rId6"/>
    <sheet state="visible" name="Events" sheetId="3" r:id="rId7"/>
    <sheet state="visible" name="Debugger_Summary" sheetId="4" r:id="rId8"/>
    <sheet state="visible" name="RepairTech_Summary" sheetId="5" r:id="rId9"/>
    <sheet state="visible" name="ErrorCode_Summary" sheetId="6" r:id="rId10"/>
    <sheet state="visible" name="Tech_x_Code" sheetId="7" r:id="rId11"/>
    <sheet state="visible" name="Override_Matrix" sheetId="8" r:id="rId12"/>
    <sheet state="visible" name="Dashboard" sheetId="9" r:id="rId13"/>
  </sheets>
  <definedNames/>
  <calcPr/>
</workbook>
</file>

<file path=xl/sharedStrings.xml><?xml version="1.0" encoding="utf-8"?>
<sst xmlns="http://schemas.openxmlformats.org/spreadsheetml/2006/main" count="87" uniqueCount="69">
  <si>
    <t>REPAIR_ID</t>
  </si>
  <si>
    <t>COMPUTER_SN</t>
  </si>
  <si>
    <t>ERROR_CODE</t>
  </si>
  <si>
    <t>DEBUGGER_ID</t>
  </si>
  <si>
    <t>REPAIR_USER</t>
  </si>
  <si>
    <t>CREATED</t>
  </si>
  <si>
    <t>DEBUGGED</t>
  </si>
  <si>
    <t>REPAIRED</t>
  </si>
  <si>
    <t>FAIL_PN</t>
  </si>
  <si>
    <t>PROPOSED_ACTION</t>
  </si>
  <si>
    <t>REPAIR_ACTION</t>
  </si>
  <si>
    <t>Data_End</t>
  </si>
  <si>
    <t>W7</t>
  </si>
  <si>
    <t>W14</t>
  </si>
  <si>
    <t>W30</t>
  </si>
  <si>
    <t>Min_Sample_N</t>
  </si>
  <si>
    <t>Debug_Min</t>
  </si>
  <si>
    <t>Repair_Phase_Min</t>
  </si>
  <si>
    <t>Cycle_Min</t>
  </si>
  <si>
    <t>Is_Override</t>
  </si>
  <si>
    <t>Has_Debugger</t>
  </si>
  <si>
    <t>Has_Repair_Tech</t>
  </si>
  <si>
    <t>Role_Overlap</t>
  </si>
  <si>
    <t>Dup_REPAIR_ID</t>
  </si>
  <si>
    <t>Neg_Duration_Flag</t>
  </si>
  <si>
    <t>Next_CREATED</t>
  </si>
  <si>
    <t>Next_ERROR_CODE</t>
  </si>
  <si>
    <t>Days_To_Next_Fail</t>
  </si>
  <si>
    <t>Eligible_7</t>
  </si>
  <si>
    <t>Repeat_7</t>
  </si>
  <si>
    <t>Same_Error_Repeat_7</t>
  </si>
  <si>
    <t>Eligible_14</t>
  </si>
  <si>
    <t>Repeat_14</t>
  </si>
  <si>
    <t>Same_Error_Repeat_14</t>
  </si>
  <si>
    <t>Eligible_30</t>
  </si>
  <si>
    <t>Repeat_30</t>
  </si>
  <si>
    <t>Same_Error_Repeat_30</t>
  </si>
  <si>
    <t>N_Events</t>
  </si>
  <si>
    <t>Median_Debug_Min</t>
  </si>
  <si>
    <t>P90_Debug_Min</t>
  </si>
  <si>
    <t>Override_Rate</t>
  </si>
  <si>
    <t>FPY_7_Followed</t>
  </si>
  <si>
    <t>SameErrRec_7_Followed</t>
  </si>
  <si>
    <t>Median_RepairPhase_Min</t>
  </si>
  <si>
    <t>P90_RepairPhase_Min</t>
  </si>
  <si>
    <t>Override_Performed_Rate</t>
  </si>
  <si>
    <t>FPY_7_All</t>
  </si>
  <si>
    <t>SameErrRec_7_All</t>
  </si>
  <si>
    <t>Median_Cycle_Min</t>
  </si>
  <si>
    <t>P90_Cycle_Min</t>
  </si>
  <si>
    <t>Repeat_7_Rate</t>
  </si>
  <si>
    <t>SameErrRepeat_7_Rate</t>
  </si>
  <si>
    <t>Repeat_7_Count</t>
  </si>
  <si>
    <t>SameErrRepeat_7_Count</t>
  </si>
  <si>
    <t>TECH_ID</t>
  </si>
  <si>
    <t>ERROR_CODE_1</t>
  </si>
  <si>
    <t>ERROR_CODE_2</t>
  </si>
  <si>
    <t>ERROR_CODE_3</t>
  </si>
  <si>
    <t>ERROR_CODE_4</t>
  </si>
  <si>
    <t>ERROR_CODE_5</t>
  </si>
  <si>
    <t>ERROR_CODE_6</t>
  </si>
  <si>
    <t>ERROR_CODE_7</t>
  </si>
  <si>
    <t>ERROR_CODE_8</t>
  </si>
  <si>
    <t>ERROR_CODE_9</t>
  </si>
  <si>
    <t>ERROR_CODE_10</t>
  </si>
  <si>
    <t>KPI</t>
  </si>
  <si>
    <t>Value</t>
  </si>
  <si>
    <t>Total_Events</t>
  </si>
  <si>
    <t>Top_10_ErrorCodes_by_Volume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</si>
</sst>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 t="s">
        <v>11</v>
      </c>
      <c r="C1" s="3">
        <f>MAX(Raw!F2:F1000)</f>
        <v>0</v>
      </c>
    </row>
    <row r="2">
      <c r="B2" s="2" t="s">
        <v>12</v>
      </c>
      <c r="C2" s="2">
        <v>7.0</v>
      </c>
    </row>
    <row r="3">
      <c r="B3" s="2" t="s">
        <v>13</v>
      </c>
      <c r="C3" s="2">
        <v>14.0</v>
      </c>
    </row>
    <row r="4">
      <c r="B4" s="2" t="s">
        <v>14</v>
      </c>
      <c r="C4" s="2">
        <v>30.0</v>
      </c>
    </row>
    <row r="6">
      <c r="B6" s="2" t="s">
        <v>15</v>
      </c>
      <c r="C6" s="2">
        <v>30.0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3.75"/>
    <col customWidth="1" min="3" max="3" width="12.75"/>
    <col customWidth="1" min="4" max="4" width="13.13"/>
    <col customWidth="1" min="5" max="5" width="12.63"/>
    <col customWidth="1" min="6" max="6" width="8.88"/>
    <col customWidth="1" min="7" max="7" width="10.5"/>
    <col customWidth="1" min="8" max="8" width="9.38"/>
    <col customWidth="1" min="9" max="9" width="7.63"/>
    <col customWidth="1" min="10" max="10" width="17.63"/>
    <col customWidth="1" min="11" max="11" width="14.25"/>
    <col customWidth="1" min="12" max="12" width="9.5"/>
    <col customWidth="1" min="13" max="13" width="15.13"/>
    <col customWidth="1" min="14" max="14" width="8.75"/>
    <col customWidth="1" min="15" max="15" width="9.63"/>
    <col customWidth="1" min="16" max="16" width="12.13"/>
    <col customWidth="1" min="17" max="17" width="14.25"/>
    <col customWidth="1" min="18" max="18" width="11.13"/>
    <col customWidth="1" min="19" max="19" width="13.63"/>
    <col customWidth="1" min="20" max="20" width="15.38"/>
    <col customWidth="1" min="21" max="21" width="13.13"/>
    <col customWidth="1" min="22" max="22" width="17.13"/>
    <col customWidth="1" min="23" max="23" width="15.38"/>
    <col customWidth="1" min="24" max="25" width="8.25"/>
    <col customWidth="1" min="26" max="26" width="18.13"/>
    <col customWidth="1" min="27" max="28" width="9.13"/>
    <col customWidth="1" min="29" max="29" width="19.0"/>
    <col customWidth="1" min="30" max="31" width="9.13"/>
    <col customWidth="1" min="32" max="32" width="19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  <c r="AE1" s="2" t="s">
        <v>35</v>
      </c>
      <c r="AF1" s="2" t="s">
        <v>36</v>
      </c>
    </row>
    <row r="2">
      <c r="A2" s="3" t="str">
        <f t="array" ref="A2:K1000">SORT(Raw!A2:K4, 2, TRUE, 6, TRUE, 1, TRUE)</f>
        <v/>
      </c>
      <c r="B2" s="3"/>
      <c r="C2" s="3"/>
      <c r="D2" s="3"/>
      <c r="E2" s="3"/>
      <c r="F2" s="3"/>
      <c r="G2" s="3"/>
      <c r="H2" s="3"/>
      <c r="I2" s="3"/>
      <c r="J2" s="3"/>
      <c r="K2" s="3"/>
      <c r="L2" s="3" t="str">
        <f>IF(OR($G2="",$F2=""),,($G2-$F2)*24*60)</f>
        <v/>
      </c>
      <c r="M2" s="3" t="str">
        <f>IF(OR($H2="",$G2=""),,($H2-$G2)*24*60)</f>
        <v/>
      </c>
      <c r="N2" s="3" t="str">
        <f>IF(OR($H2="",$F2=""),,($H2-$F2)*24*60)</f>
        <v/>
      </c>
      <c r="O2" s="3" t="str">
        <f>IF(OR($K2="",$J2=""),,--($K2&lt;&gt;$J2))</f>
        <v/>
      </c>
      <c r="P2" s="3">
        <f>--($D2&lt;&gt;"")</f>
        <v>0</v>
      </c>
      <c r="Q2" s="3">
        <f>--($E2&lt;&gt;"")</f>
        <v>0</v>
      </c>
      <c r="R2" s="3" t="str">
        <f>IF(OR($D2="",$E2=""),,--($D2=$E2))</f>
        <v/>
      </c>
      <c r="S2" s="3">
        <f>--(COUNTIF($A:$A,$A2)&gt;1)</f>
        <v>0</v>
      </c>
      <c r="T2" s="3" t="str">
        <f>IF(OR($L2&lt;0,$M2&lt;0,$N2&lt;0),"NEG_DURATION",)</f>
        <v/>
      </c>
      <c r="U2" s="3" t="str">
        <f>IF($B2=$B3,$F3,)</f>
        <v/>
      </c>
      <c r="V2" s="3" t="str">
        <f>IF($B2=$B3,$C3,)</f>
        <v/>
      </c>
      <c r="W2" s="3" t="str">
        <f>IF(OR($U2="",$H2=""),,($U2-$H2))</f>
        <v/>
      </c>
      <c r="X2" s="3" t="str">
        <f>IF($H2="",, $H2 &lt;= (Params!$C$1-Params!$C$2))</f>
        <v/>
      </c>
      <c r="Y2" s="3" t="str">
        <f>IF(NOT($X2),, IF($W2="",0, --($W2&lt;=Params!$C$2)))</f>
        <v/>
      </c>
      <c r="Z2" s="3" t="str">
        <f>IF(NOT($X2),, --(AND($Y2=1,$V2=$C2)))</f>
        <v/>
      </c>
      <c r="AA2" s="3" t="str">
        <f>IF($H2="",, $H2 &lt;= (Params!$C$1-Params!$C$3))</f>
        <v/>
      </c>
      <c r="AB2" s="3" t="str">
        <f>IF(NOT($AA2),, IF($W2="",0, --($W2&lt;=Params!$C$3)))</f>
        <v/>
      </c>
      <c r="AC2" s="3" t="str">
        <f>IF(NOT($AA2),, --(AND($AB2=1,$V2=$C2)))</f>
        <v/>
      </c>
      <c r="AD2" s="3" t="str">
        <f>IF($H2="",, $H2 &lt;= (Params!$C$1-Params!$C$4))</f>
        <v/>
      </c>
      <c r="AE2" s="3" t="str">
        <f>IF(NOT($AD2),, IF($W2="",0, --($W2&lt;=Params!$C$4)))</f>
        <v/>
      </c>
      <c r="AF2" s="3" t="str">
        <f>IF(NOT($AD2),, --(AND($AE2=1,$V2=$C2)))</f>
        <v/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8.25"/>
    <col customWidth="1" min="3" max="3" width="15.88"/>
    <col customWidth="1" min="4" max="4" width="13.38"/>
    <col customWidth="1" min="5" max="5" width="11.75"/>
    <col customWidth="1" min="6" max="6" width="13.63"/>
    <col customWidth="1" min="7" max="7" width="20.0"/>
  </cols>
  <sheetData>
    <row r="1">
      <c r="A1" s="2" t="s">
        <v>3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</row>
    <row r="2">
      <c r="A2" s="3" t="str">
        <f>IFERROR(__xludf.DUMMYFUNCTION("SORT(UNIQUE(FILTER(Events!D2:D1000, Events!D2:D1000&lt;&gt;"""")))"),"#N/A")</f>
        <v>#N/A</v>
      </c>
      <c r="B2" s="3">
        <f>COUNTIF(Events!D:D,$A2)</f>
        <v>0</v>
      </c>
      <c r="C2" s="3" t="str">
        <f>IFERROR(__xludf.DUMMYFUNCTION("IF($B2=0,, PERCENTILE(FILTER(Events!L$2:L, Events!D$2:D=$A2, Events!L$2:L&lt;&gt;"""", Events!T$2:T=""""), 0.5))"),"")</f>
        <v/>
      </c>
      <c r="D2" s="3" t="str">
        <f>IFERROR(__xludf.DUMMYFUNCTION("IF($B2=0,, PERCENTILE(FILTER(Events!L$2:L, Events!D$2:D=$A2, Events!L$2:L&lt;&gt;"""", Events!T$2:T=""""), 0.9))"),"")</f>
        <v/>
      </c>
      <c r="E2" s="3" t="str">
        <f>IFERROR(__xludf.DUMMYFUNCTION("IF($B2=0,, AVERAGE(FILTER(Events!O$2:O, Events!D$2:D=$A2, Events!O$2:O&lt;&gt;"""")))"),"")</f>
        <v/>
      </c>
      <c r="F2" s="3" t="str">
        <f>IFERROR(__xludf.DUMMYFUNCTION("IFERROR(1-AVERAGE(FILTER(Events!Y$2:Y, Events!D$2:D=$A2, Events!O$2:O=0, Events!X$2:X=TRUE)),)"),"")</f>
        <v/>
      </c>
      <c r="G2" s="3" t="str">
        <f>IFERROR(__xludf.DUMMYFUNCTION("IFERROR(AVERAGE(FILTER(Events!Z$2:Z, Events!D$2:D=$A2, Events!O$2:O=0, Events!X$2:X=TRUE)),)"),"")</f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8.25"/>
    <col customWidth="1" min="3" max="3" width="20.63"/>
    <col customWidth="1" min="4" max="4" width="18.13"/>
    <col customWidth="1" min="5" max="5" width="20.5"/>
    <col customWidth="1" min="6" max="6" width="8.88"/>
    <col customWidth="1" min="7" max="7" width="15.13"/>
  </cols>
  <sheetData>
    <row r="1">
      <c r="A1" s="2" t="s">
        <v>4</v>
      </c>
      <c r="B1" s="2" t="s">
        <v>37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</row>
    <row r="2">
      <c r="A2" s="3" t="str">
        <f>IFERROR(__xludf.DUMMYFUNCTION("SORT(UNIQUE(FILTER(Events!E2:E1000, Events!E2:E1000&lt;&gt;"""")))"),"#N/A")</f>
        <v>#N/A</v>
      </c>
      <c r="B2" s="3">
        <f>COUNTIF(Events!E:E,$A2)</f>
        <v>0</v>
      </c>
      <c r="C2" s="3" t="str">
        <f>IFERROR(__xludf.DUMMYFUNCTION("IF($B2=0,, PERCENTILE(FILTER(Events!M$2:M, Events!E$2:E=$A2, Events!M$2:M&lt;&gt;"""", Events!T$2:T=""""), 0.5))"),"")</f>
        <v/>
      </c>
      <c r="D2" s="3" t="str">
        <f>IFERROR(__xludf.DUMMYFUNCTION("IF($B2=0,, PERCENTILE(FILTER(Events!M$2:M, Events!E$2:E=$A2, Events!M$2:M&lt;&gt;"""", Events!T$2:T=""""), 0.9))"),"")</f>
        <v/>
      </c>
      <c r="E2" s="3" t="str">
        <f>IFERROR(__xludf.DUMMYFUNCTION("IF($B2=0,, AVERAGE(FILTER(Events!O$2:O, Events!E$2:E=$A2, Events!O$2:O&lt;&gt;"""")))"),"")</f>
        <v/>
      </c>
      <c r="F2" s="3" t="str">
        <f>IFERROR(__xludf.DUMMYFUNCTION("IFERROR(1-AVERAGE(FILTER(Events!Y$2:Y, Events!E$2:E=$A2, Events!X$2:X=TRUE)),)"),"")</f>
        <v/>
      </c>
      <c r="G2" s="3" t="str">
        <f>IFERROR(__xludf.DUMMYFUNCTION("IFERROR(AVERAGE(FILTER(Events!Z$2:Z, Events!E$2:E=$A2, Events!X$2:X=TRUE)),)"),"")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8.25"/>
    <col customWidth="1" min="3" max="3" width="15.13"/>
    <col customWidth="1" min="4" max="5" width="12.63"/>
    <col customWidth="1" min="6" max="6" width="19.25"/>
    <col customWidth="1" min="7" max="7" width="13.63"/>
    <col customWidth="1" min="8" max="8" width="20.13"/>
  </cols>
  <sheetData>
    <row r="1">
      <c r="A1" s="2" t="s">
        <v>2</v>
      </c>
      <c r="B1" s="2" t="s">
        <v>37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</row>
    <row r="2">
      <c r="A2" s="3" t="str">
        <f>IFERROR(__xludf.DUMMYFUNCTION("SORT(UNIQUE(FILTER(Events!C2:C1000, Events!C2:C1000&lt;&gt;"""")))"),"#N/A")</f>
        <v>#N/A</v>
      </c>
      <c r="B2" s="3">
        <f>COUNTIF(Events!C:C,$A2)</f>
        <v>0</v>
      </c>
      <c r="C2" s="3" t="str">
        <f>IFERROR(__xludf.DUMMYFUNCTION("IF($B2=0,,PERCENTILE(FILTER(Events!N$2:N1000, Events!C$2:C1000=$A2, Events!N$2:N1000&lt;&gt;"""", Events!T$2:T1000=""""), 0.5))"),"")</f>
        <v/>
      </c>
      <c r="D2" s="3" t="str">
        <f>IFERROR(__xludf.DUMMYFUNCTION("IF($B2=0,,PERCENTILE(FILTER(Events!N$2:N1000, Events!C$2:C1000=$A2, Events!N$2:N1000&lt;&gt;"""", Events!T$2:T1000=""""), 0.9))"),"")</f>
        <v/>
      </c>
      <c r="E2" s="3" t="str">
        <f>IFERROR(__xludf.DUMMYFUNCTION("IFERROR(AVERAGE(FILTER(Events!Y$2:Y1000, Events!C$2:C1000=$A2,Events!X$2:X1000=TRUE)),)"),"")</f>
        <v/>
      </c>
      <c r="F2" s="3" t="str">
        <f>IFERROR(__xludf.DUMMYFUNCTION("IFERROR(AVERAGE(FILTER(Events!Z$2:Z1000, Events!C$2:C1000=$A2,Events!X$2:X1000=TRUE)),)"),"")</f>
        <v/>
      </c>
      <c r="G2" s="3" t="str">
        <f>IFERROR(__xludf.DUMMYFUNCTION("IFERROR(SUM(FILTER(Events!Y$2:Y1000, Events!C$2:C1000=$A2,Events!X$2:X1000=TRUE)),)"),"")</f>
        <v/>
      </c>
      <c r="H2" s="3" t="str">
        <f>IFERROR(__xludf.DUMMYFUNCTION("IFERROR(SUM(FILTER(Events!Z$2:Z1000, Events!C$2:C1000=$A2,Events!X$2:X1000=TRUE)),)"),"")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10" width="14.63"/>
    <col customWidth="1" min="11" max="11" width="15.5"/>
  </cols>
  <sheetData>
    <row r="1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</row>
    <row r="2">
      <c r="B2" s="3" t="str">
        <f>IFERROR(__xludf.DUMMYFUNCTION("LET(tech,$A2,code,B$1,n,COUNTIFS(Events!D:D, tech, Events!C:C, code),IF(n&lt;Params!$C$6,""LOW_N"",IFERROR(PERCENTILE(FILTER(Events!L$2:L1000,Events!D$2:D1000=tech,Events!C$2:C1000=code,Events!L$2:L1000&lt;&gt;"""",Events!T$2:T1000=""""),0.5),)))"),"LOW_N")</f>
        <v>LOW_N</v>
      </c>
      <c r="C2" s="3" t="str">
        <f>IFERROR(__xludf.DUMMYFUNCTION("LET(tech,$A2, code, C$1, n, COUNTIFS(Events!D:D, tech, Events!C:C, code), IF(n&lt;Params!$C$6, ""LOW_N"", IFERROR(PERCENTILE(FILTER(Events!L$2:L1000, Events!D$2:D1000=tech, Events!C$2:C1000=code, Events!L$2:L1000&lt;&gt;"""", Events!T$2:T1000=""""), 0.5), )))"),"LOW_N")</f>
        <v>LOW_N</v>
      </c>
      <c r="D2" s="3" t="str">
        <f>IFERROR(__xludf.DUMMYFUNCTION("LET(tech,$A2, code, D$1, n, COUNTIFS(Events!D:D, tech, Events!C:C, code), IF(n&lt;Params!$C$6, ""LOW_N"", IFERROR(PERCENTILE(FILTER(Events!L$2:L1000, Events!D$2:D1000=tech, Events!C$2:C1000=code, Events!L$2:L1000&lt;&gt;"""", Events!T$2:T1000=""""), 0.5), )))"),"LOW_N")</f>
        <v>LOW_N</v>
      </c>
      <c r="E2" s="3" t="str">
        <f>IFERROR(__xludf.DUMMYFUNCTION("LET(tech,$A2, code, E$1, n, COUNTIFS(Events!D:D, tech, Events!C:C, code), IF(n&lt;Params!$C$6, ""LOW_N"", IFERROR(PERCENTILE(FILTER(Events!L$2:L1000, Events!D$2:D1000=tech, Events!C$2:C1000=code, Events!L$2:L1000&lt;&gt;"""", Events!T$2:T1000=""""), 0.5), )))"),"LOW_N")</f>
        <v>LOW_N</v>
      </c>
      <c r="F2" s="3" t="str">
        <f>IFERROR(__xludf.DUMMYFUNCTION("LET(tech,$A2, code, F$1, n, COUNTIFS(Events!D:D, tech, Events!C:C, code), IF(n&lt;Params!$C$6, ""LOW_N"", IFERROR(PERCENTILE(FILTER(Events!L$2:L1000, Events!D$2:D1000=tech, Events!C$2:C1000=code, Events!L$2:L1000&lt;&gt;"""", Events!T$2:T1000=""""), 0.5), )))"),"LOW_N")</f>
        <v>LOW_N</v>
      </c>
      <c r="G2" s="3" t="str">
        <f>IFERROR(__xludf.DUMMYFUNCTION("LET(tech,$A2, code, G$1, n, COUNTIFS(Events!D:D, tech, Events!C:C, code), IF(n&lt;Params!$C$6, ""LOW_N"", IFERROR(PERCENTILE(FILTER(Events!L$2:L1000, Events!D$2:D1000=tech, Events!C$2:C1000=code, Events!L$2:L1000&lt;&gt;"""", Events!T$2:T1000=""""), 0.5), )))"),"LOW_N")</f>
        <v>LOW_N</v>
      </c>
      <c r="H2" s="3" t="str">
        <f>IFERROR(__xludf.DUMMYFUNCTION("LET(tech,$A2, code, H$1, n, COUNTIFS(Events!D:D, tech, Events!C:C, code), IF(n&lt;Params!$C$6, ""LOW_N"", IFERROR(PERCENTILE(FILTER(Events!L$2:L1000, Events!D$2:D1000=tech, Events!C$2:C1000=code, Events!L$2:L1000&lt;&gt;"""", Events!T$2:T1000=""""), 0.5), )))"),"LOW_N")</f>
        <v>LOW_N</v>
      </c>
      <c r="I2" s="3" t="str">
        <f>IFERROR(__xludf.DUMMYFUNCTION("LET(tech,$A2, code, I$1, n, COUNTIFS(Events!D:D, tech, Events!C:C, code), IF(n&lt;Params!$C$6, ""LOW_N"", IFERROR(PERCENTILE(FILTER(Events!L$2:L1000, Events!D$2:D1000=tech, Events!C$2:C1000=code, Events!L$2:L1000&lt;&gt;"""", Events!T$2:T1000=""""), 0.5), )))"),"LOW_N")</f>
        <v>LOW_N</v>
      </c>
      <c r="J2" s="3" t="str">
        <f>IFERROR(__xludf.DUMMYFUNCTION("LET(tech,$A2, code, J$1, n, COUNTIFS(Events!D:D, tech, Events!C:C, code), IF(n&lt;Params!$C$6, ""LOW_N"", IFERROR(PERCENTILE(FILTER(Events!L$2:L1000, Events!D$2:D1000=tech, Events!C$2:C1000=code, Events!L$2:L1000&lt;&gt;"""", Events!T$2:T1000=""""), 0.5), )))"),"LOW_N")</f>
        <v>LOW_N</v>
      </c>
      <c r="K2" s="3" t="str">
        <f>IFERROR(__xludf.DUMMYFUNCTION("LET(tech,$A2, code, K$1, n, COUNTIFS(Events!D:D, tech, Events!C:C, code), IF(n&lt;Params!$C$6, ""LOW_N"", IFERROR(PERCENTILE(FILTER(Events!L$2:L1000, Events!D$2:D1000=tech, Events!C$2:C1000=code, Events!L$2:L1000&lt;&gt;"""", Events!T$2:T1000=""""), 0.5), )))"),"LOW_N")</f>
        <v>LOW_N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3" t="str">
        <f>IFERROR(__xludf.DUMMYFUNCTION("QUERY(Events!A1:AF1000,""select J, count(A) where J is not null and K is not null group by J pivot K label count(A) ''"",1)"),"PROPOSED_ACTION")</f>
        <v>PROPOSED_ACTION</v>
      </c>
      <c r="B1" s="3" t="str">
        <f>IFERROR(__xludf.DUMMYFUNCTION("""COMPUTED_VALUE"""),"")</f>
        <v/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5.13"/>
  </cols>
  <sheetData>
    <row r="1">
      <c r="A1" s="2" t="s">
        <v>65</v>
      </c>
      <c r="B1" s="2" t="s">
        <v>66</v>
      </c>
    </row>
    <row r="2">
      <c r="A2" s="2" t="s">
        <v>67</v>
      </c>
      <c r="B2" s="3">
        <f>COUNTA(Events!A2:A1000)</f>
        <v>0</v>
      </c>
    </row>
    <row r="3">
      <c r="A3" s="2" t="s">
        <v>48</v>
      </c>
      <c r="B3" s="3" t="str">
        <f>IFERROR(__xludf.DUMMYFUNCTION("PERCENTILE(FILTER(Events!N$2:N1000, Events!N$2:N1000&lt;&gt;"""", Events!T$2:T1000=""""), 0.5)"),"#N/A")</f>
        <v>#N/A</v>
      </c>
    </row>
    <row r="4">
      <c r="A4" s="2" t="s">
        <v>50</v>
      </c>
      <c r="B4" s="3" t="str">
        <f>IFERROR(__xludf.DUMMYFUNCTION("AVERAGE(FILTER(Events!Y$2:Y1000, Events!X$2:X1000=TRUE))"),"#N/A")</f>
        <v>#N/A</v>
      </c>
    </row>
    <row r="6">
      <c r="A6" s="2" t="s">
        <v>68</v>
      </c>
    </row>
    <row r="7">
      <c r="A7" s="3" t="str">
        <f>IFERROR(__xludf.DUMMYFUNCTION("QUERY(ErrorCode_Summary!A2:H1000, ""SELECT * WHERE A IS NOT NULL ORDER BY B DESC LIMIT 10"", 0)"),"#N/A")</f>
        <v>#N/A</v>
      </c>
      <c r="B7" s="3">
        <f>IFERROR(__xludf.DUMMYFUNCTION("""COMPUTED_VALUE"""),0.0)</f>
        <v>0</v>
      </c>
      <c r="C7" s="3"/>
      <c r="D7" s="3"/>
      <c r="E7" s="3"/>
      <c r="F7" s="3"/>
      <c r="G7" s="3"/>
      <c r="H7" s="3"/>
    </row>
  </sheetData>
  <drawing r:id="rId1"/>
</worksheet>
</file>